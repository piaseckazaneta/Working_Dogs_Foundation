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se\Desktop\BI_NGO\"/>
    </mc:Choice>
  </mc:AlternateContent>
  <xr:revisionPtr revIDLastSave="0" documentId="13_ncr:1_{0D07ABC1-09C8-4A22-96D9-1EB74E1A8B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tystyki" sheetId="1" r:id="rId1"/>
    <sheet name="lokalizacje_adopsiaki" sheetId="2" r:id="rId2"/>
    <sheet name="lokalizacje_warsztatow_firmy" sheetId="3" r:id="rId3"/>
  </sheets>
  <definedNames>
    <definedName name="_xlnm._FilterDatabase" localSheetId="1" hidden="1">lokalizacje_adopsiaki!$A$1:$F$16</definedName>
    <definedName name="_xlnm._FilterDatabase" localSheetId="2" hidden="1">lokalizacje_warsztatow_firmy!$A$1:$F$10</definedName>
  </definedNames>
  <calcPr calcId="181029" iterateDelta="1E-4"/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<sst xmlns="http://schemas.openxmlformats.org/spreadsheetml/2006/main" count="48" uniqueCount="37">
  <si>
    <t>dane_czesciowe</t>
  </si>
  <si>
    <t>miasto</t>
  </si>
  <si>
    <t>rok_od</t>
  </si>
  <si>
    <t>X (EPSG:2180)</t>
  </si>
  <si>
    <t>Y (EPSG:2180)</t>
  </si>
  <si>
    <t>Lon (WGS84)</t>
  </si>
  <si>
    <t>Lat (WGS84)</t>
  </si>
  <si>
    <t>Warszawa</t>
  </si>
  <si>
    <t>Łódź</t>
  </si>
  <si>
    <t>Brzeziny</t>
  </si>
  <si>
    <t>Wrocław</t>
  </si>
  <si>
    <t>Gdańsk</t>
  </si>
  <si>
    <t>Myszków</t>
  </si>
  <si>
    <t>Gliwice</t>
  </si>
  <si>
    <t>Bytom</t>
  </si>
  <si>
    <t>Tarnowskie Góry</t>
  </si>
  <si>
    <t>Opole</t>
  </si>
  <si>
    <t>Jelenia Góra</t>
  </si>
  <si>
    <t>Pabianice</t>
  </si>
  <si>
    <t>Poddębice</t>
  </si>
  <si>
    <t>Kraków</t>
  </si>
  <si>
    <t>Tarnów</t>
  </si>
  <si>
    <t>rok</t>
  </si>
  <si>
    <t>Szczecin</t>
  </si>
  <si>
    <t>Lublin</t>
  </si>
  <si>
    <t>Bydgoszcz</t>
  </si>
  <si>
    <t>Kielce</t>
  </si>
  <si>
    <t>zgloszenia_adopsiaki</t>
  </si>
  <si>
    <t>rodziny_adopsiaki</t>
  </si>
  <si>
    <t>dzieci_warsztaty</t>
  </si>
  <si>
    <t>placowki_warsztaty</t>
  </si>
  <si>
    <t>firmy_dfc</t>
  </si>
  <si>
    <t>wolontariusze</t>
  </si>
  <si>
    <t>linkedin</t>
  </si>
  <si>
    <t>facebook</t>
  </si>
  <si>
    <t>instagram</t>
  </si>
  <si>
    <t>liczba_darczyncow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</si>
</sst>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2C5F2E"/>
      </patternFill>
    </fill>
    <fill>
      <patternFill patternType="solid">
        <fgColor rgb="FFF0F7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1" sqref="L1"/>
    </sheetView>
  </sheetViews>
  <sheetFormatPr defaultRowHeight="14.5" x14ac:dyDescent="0.35"/>
  <cols>
    <col min="12" max="12" width="15" customWidth="1"/>
  </cols>
  <sheetData>
    <row r="1" spans="1:12" x14ac:dyDescent="0.35">
      <c r="A1" t="s">
        <v>22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0</v>
      </c>
    </row>
    <row r="2" spans="1:12" x14ac:dyDescent="0.35">
      <c r="A2">
        <v>2023</v>
      </c>
      <c r="B2" s="1">
        <v>59</v>
      </c>
      <c r="C2" s="1">
        <v>11</v>
      </c>
      <c r="D2" s="1">
        <v>2726</v>
      </c>
      <c r="E2" s="1">
        <v>44</v>
      </c>
      <c r="F2" s="2">
        <v>5</v>
      </c>
      <c r="G2" s="1">
        <v>7</v>
      </c>
      <c r="H2" s="2">
        <v>1214</v>
      </c>
      <c r="I2" s="2">
        <v>1242</v>
      </c>
      <c r="J2" s="2">
        <v>1279</v>
      </c>
      <c r="K2" s="2">
        <v>18</v>
      </c>
      <c r="L2" s="2">
        <v>0</v>
      </c>
    </row>
    <row r="3" spans="1:12" x14ac:dyDescent="0.35">
      <c r="A3">
        <v>2024</v>
      </c>
      <c r="B3" s="1">
        <v>77</v>
      </c>
      <c r="C3" s="1">
        <v>45</v>
      </c>
      <c r="D3" s="1">
        <v>2835</v>
      </c>
      <c r="E3" s="1">
        <v>35</v>
      </c>
      <c r="F3" s="2">
        <v>9</v>
      </c>
      <c r="G3" s="1">
        <v>12</v>
      </c>
      <c r="H3" s="2">
        <v>1834</v>
      </c>
      <c r="I3" s="2">
        <v>1537</v>
      </c>
      <c r="J3" s="2">
        <v>1630</v>
      </c>
      <c r="K3" s="2">
        <v>22</v>
      </c>
      <c r="L3" s="2">
        <v>0</v>
      </c>
    </row>
    <row r="4" spans="1:12" x14ac:dyDescent="0.35">
      <c r="A4">
        <v>2025</v>
      </c>
      <c r="B4" s="1">
        <v>126</v>
      </c>
      <c r="C4" s="1">
        <v>63</v>
      </c>
      <c r="D4" s="1">
        <v>4846</v>
      </c>
      <c r="E4" s="1">
        <v>62</v>
      </c>
      <c r="F4" s="2">
        <v>14</v>
      </c>
      <c r="G4" s="1">
        <v>16</v>
      </c>
      <c r="H4" s="2">
        <v>2140</v>
      </c>
      <c r="I4" s="2">
        <v>1976</v>
      </c>
      <c r="J4" s="2">
        <v>1891</v>
      </c>
      <c r="K4" s="2">
        <v>31</v>
      </c>
      <c r="L4" s="2">
        <v>0</v>
      </c>
    </row>
    <row r="5" spans="1:12" x14ac:dyDescent="0.35">
      <c r="A5">
        <v>2026</v>
      </c>
      <c r="B5" s="1">
        <v>30</v>
      </c>
      <c r="C5" s="1">
        <v>3</v>
      </c>
      <c r="D5" s="1">
        <f>238+147</f>
        <v>385</v>
      </c>
      <c r="E5" s="1">
        <v>5</v>
      </c>
      <c r="F5" s="2">
        <v>2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activeCell="I15" sqref="I15"/>
    </sheetView>
  </sheetViews>
  <sheetFormatPr defaultRowHeight="14.5" x14ac:dyDescent="0.35"/>
  <cols>
    <col min="3" max="6" width="16" customWidth="1"/>
  </cols>
  <sheetData>
    <row r="1" spans="1:6" x14ac:dyDescent="0.35">
      <c r="A1" t="s">
        <v>1</v>
      </c>
      <c r="B1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35">
      <c r="A2" t="s">
        <v>7</v>
      </c>
      <c r="B2">
        <v>2023</v>
      </c>
      <c r="C2" s="6">
        <v>641394.81000000006</v>
      </c>
      <c r="D2" s="6">
        <v>487279.09</v>
      </c>
      <c r="E2" s="6">
        <v>21.071148999999998</v>
      </c>
      <c r="F2" s="6">
        <v>52.233373999999998</v>
      </c>
    </row>
    <row r="3" spans="1:6" x14ac:dyDescent="0.35">
      <c r="A3" t="s">
        <v>8</v>
      </c>
      <c r="B3">
        <v>2023</v>
      </c>
      <c r="C3" s="5">
        <v>533004.31999999995</v>
      </c>
      <c r="D3" s="5">
        <v>434158.44</v>
      </c>
      <c r="E3" s="5">
        <v>19.478486</v>
      </c>
      <c r="F3" s="5">
        <v>51.772824</v>
      </c>
    </row>
    <row r="4" spans="1:6" x14ac:dyDescent="0.35">
      <c r="A4" t="s">
        <v>9</v>
      </c>
      <c r="B4">
        <v>2023</v>
      </c>
      <c r="C4">
        <v>484051.23</v>
      </c>
      <c r="D4" s="5">
        <v>397610.45</v>
      </c>
      <c r="E4">
        <v>19.762611</v>
      </c>
      <c r="F4" s="5">
        <v>51.800193999999998</v>
      </c>
    </row>
    <row r="5" spans="1:6" x14ac:dyDescent="0.35">
      <c r="A5" t="s">
        <v>10</v>
      </c>
      <c r="B5">
        <v>2023</v>
      </c>
      <c r="C5" s="5">
        <v>358565.05</v>
      </c>
      <c r="D5" s="5">
        <v>364114.54</v>
      </c>
      <c r="E5" s="5">
        <v>16.978196000000001</v>
      </c>
      <c r="F5" s="5">
        <v>51.126311000000001</v>
      </c>
    </row>
    <row r="6" spans="1:6" x14ac:dyDescent="0.35">
      <c r="A6" t="s">
        <v>11</v>
      </c>
      <c r="B6">
        <v>2025</v>
      </c>
      <c r="C6" s="5">
        <v>477517.91</v>
      </c>
      <c r="D6" s="5">
        <v>720521.53</v>
      </c>
      <c r="E6" s="5">
        <v>18.654022999999999</v>
      </c>
      <c r="F6" s="5">
        <v>54.348291000000003</v>
      </c>
    </row>
    <row r="7" spans="1:6" x14ac:dyDescent="0.35">
      <c r="A7" t="s">
        <v>12</v>
      </c>
      <c r="B7">
        <v>2025</v>
      </c>
      <c r="C7" s="6">
        <v>522790.03</v>
      </c>
      <c r="D7" s="6">
        <v>300782.75</v>
      </c>
      <c r="E7" s="6">
        <v>19.321940999999999</v>
      </c>
      <c r="F7" s="6">
        <v>50.573647999999999</v>
      </c>
    </row>
    <row r="8" spans="1:6" x14ac:dyDescent="0.35">
      <c r="A8" t="s">
        <v>13</v>
      </c>
      <c r="B8">
        <v>2025</v>
      </c>
      <c r="C8" s="5">
        <v>475960.14</v>
      </c>
      <c r="D8" s="5">
        <v>270494.95</v>
      </c>
      <c r="E8" s="5">
        <v>18.662347</v>
      </c>
      <c r="F8" s="5">
        <v>50.301130999999998</v>
      </c>
    </row>
    <row r="9" spans="1:6" x14ac:dyDescent="0.35">
      <c r="A9" t="s">
        <v>14</v>
      </c>
      <c r="B9">
        <v>2025</v>
      </c>
      <c r="C9" s="5">
        <v>494536.31</v>
      </c>
      <c r="D9" s="5">
        <v>275546.2</v>
      </c>
      <c r="E9" s="5">
        <v>18.923186000000001</v>
      </c>
      <c r="F9" s="5">
        <v>50.347039000000002</v>
      </c>
    </row>
    <row r="10" spans="1:6" x14ac:dyDescent="0.35">
      <c r="A10" t="s">
        <v>15</v>
      </c>
      <c r="B10">
        <v>2025</v>
      </c>
      <c r="C10">
        <v>321867.53999999998</v>
      </c>
      <c r="D10">
        <v>374851.12</v>
      </c>
      <c r="E10">
        <v>18.859515999999999</v>
      </c>
      <c r="F10">
        <v>50.442661000000001</v>
      </c>
    </row>
    <row r="11" spans="1:6" x14ac:dyDescent="0.35">
      <c r="A11" t="s">
        <v>16</v>
      </c>
      <c r="B11">
        <v>2025</v>
      </c>
      <c r="C11" s="5">
        <v>424416.7</v>
      </c>
      <c r="D11" s="5">
        <v>312967.59999999998</v>
      </c>
      <c r="E11" s="5">
        <v>17.929884000000001</v>
      </c>
      <c r="F11" s="5">
        <v>50.678792999999999</v>
      </c>
    </row>
    <row r="12" spans="1:6" x14ac:dyDescent="0.35">
      <c r="A12" t="s">
        <v>17</v>
      </c>
      <c r="B12">
        <v>2025</v>
      </c>
      <c r="C12" s="6">
        <v>264536.95</v>
      </c>
      <c r="D12" s="6">
        <v>336800.54</v>
      </c>
      <c r="E12" s="6">
        <v>15.653748999999999</v>
      </c>
      <c r="F12" s="6">
        <v>50.850104999999999</v>
      </c>
    </row>
    <row r="13" spans="1:6" x14ac:dyDescent="0.35">
      <c r="A13" t="s">
        <v>18</v>
      </c>
      <c r="B13">
        <v>2025</v>
      </c>
      <c r="C13" s="5">
        <v>524571.06000000006</v>
      </c>
      <c r="D13" s="5">
        <v>422562.99</v>
      </c>
      <c r="E13" s="5">
        <v>19.355407</v>
      </c>
      <c r="F13" s="5">
        <v>51.668970000000002</v>
      </c>
    </row>
    <row r="14" spans="1:6" x14ac:dyDescent="0.35">
      <c r="A14" t="s">
        <v>19</v>
      </c>
      <c r="B14">
        <v>2025</v>
      </c>
      <c r="C14">
        <v>462398.77</v>
      </c>
      <c r="D14">
        <v>413089.33</v>
      </c>
      <c r="E14">
        <v>18.959823</v>
      </c>
      <c r="F14">
        <v>51.887456</v>
      </c>
    </row>
    <row r="15" spans="1:6" x14ac:dyDescent="0.35">
      <c r="A15" t="s">
        <v>20</v>
      </c>
      <c r="B15">
        <v>2026</v>
      </c>
      <c r="C15" s="6">
        <v>571371.41</v>
      </c>
      <c r="D15" s="6">
        <v>242662.37</v>
      </c>
      <c r="E15" s="6">
        <v>19.997153000000001</v>
      </c>
      <c r="F15" s="6">
        <v>50.046942999999999</v>
      </c>
    </row>
    <row r="16" spans="1:6" x14ac:dyDescent="0.35">
      <c r="A16" t="s">
        <v>21</v>
      </c>
      <c r="B16">
        <v>2026</v>
      </c>
      <c r="C16" s="5">
        <v>640635.43000000005</v>
      </c>
      <c r="D16" s="5">
        <v>241704.63</v>
      </c>
      <c r="E16" s="5">
        <v>20.964058000000001</v>
      </c>
      <c r="F16" s="5">
        <v>50.025987999999998</v>
      </c>
    </row>
  </sheetData>
  <autoFilter ref="A1:F1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E18" sqref="E18"/>
    </sheetView>
  </sheetViews>
  <sheetFormatPr defaultRowHeight="14.5" x14ac:dyDescent="0.35"/>
  <cols>
    <col min="3" max="6" width="16" customWidth="1"/>
  </cols>
  <sheetData>
    <row r="1" spans="1:6" x14ac:dyDescent="0.35">
      <c r="A1" t="s">
        <v>1</v>
      </c>
      <c r="B1" t="s">
        <v>22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35">
      <c r="A2" t="s">
        <v>8</v>
      </c>
      <c r="B2">
        <v>2025</v>
      </c>
      <c r="C2" s="5">
        <v>533004.31999999995</v>
      </c>
      <c r="D2" s="5">
        <v>434158.44</v>
      </c>
      <c r="E2" s="5">
        <v>19.478486</v>
      </c>
      <c r="F2" s="5">
        <v>51.772824</v>
      </c>
    </row>
    <row r="3" spans="1:6" x14ac:dyDescent="0.35">
      <c r="A3" t="s">
        <v>7</v>
      </c>
      <c r="B3">
        <v>2025</v>
      </c>
      <c r="C3" s="6">
        <v>641394.81000000006</v>
      </c>
      <c r="D3" s="6">
        <v>487279.09</v>
      </c>
      <c r="E3" s="6">
        <v>21.071148999999998</v>
      </c>
      <c r="F3" s="6">
        <v>52.233373999999998</v>
      </c>
    </row>
    <row r="4" spans="1:6" x14ac:dyDescent="0.35">
      <c r="A4" t="s">
        <v>10</v>
      </c>
      <c r="B4">
        <v>2025</v>
      </c>
      <c r="C4" s="5">
        <v>358565.05</v>
      </c>
      <c r="D4" s="5">
        <v>364114.54</v>
      </c>
      <c r="E4" s="5">
        <v>16.978196000000001</v>
      </c>
      <c r="F4" s="5">
        <v>51.126311000000001</v>
      </c>
    </row>
    <row r="5" spans="1:6" x14ac:dyDescent="0.35">
      <c r="A5" t="s">
        <v>16</v>
      </c>
      <c r="B5">
        <v>2025</v>
      </c>
      <c r="C5" s="5">
        <v>424416.7</v>
      </c>
      <c r="D5" s="5">
        <v>312967.59999999998</v>
      </c>
      <c r="E5" s="5">
        <v>17.929884000000001</v>
      </c>
      <c r="F5" s="5">
        <v>50.678792999999999</v>
      </c>
    </row>
    <row r="6" spans="1:6" x14ac:dyDescent="0.35">
      <c r="A6" t="s">
        <v>23</v>
      </c>
      <c r="B6">
        <v>2025</v>
      </c>
      <c r="C6" s="6">
        <v>204574.42</v>
      </c>
      <c r="D6" s="6">
        <v>627569.52</v>
      </c>
      <c r="E6" s="6">
        <v>14.550962</v>
      </c>
      <c r="F6" s="6">
        <v>53.430182000000002</v>
      </c>
    </row>
    <row r="7" spans="1:6" x14ac:dyDescent="0.35">
      <c r="A7" t="s">
        <v>11</v>
      </c>
      <c r="B7">
        <v>2025</v>
      </c>
      <c r="C7" s="5">
        <v>477517.91</v>
      </c>
      <c r="D7" s="5">
        <v>720521.53</v>
      </c>
      <c r="E7" s="5">
        <v>18.654022999999999</v>
      </c>
      <c r="F7" s="5">
        <v>54.348291000000003</v>
      </c>
    </row>
    <row r="8" spans="1:6" x14ac:dyDescent="0.35">
      <c r="A8" t="s">
        <v>24</v>
      </c>
      <c r="B8">
        <v>2025</v>
      </c>
      <c r="C8" s="6">
        <v>749051.38</v>
      </c>
      <c r="D8" s="6">
        <v>382039.44</v>
      </c>
      <c r="E8" s="6">
        <v>22.570101999999999</v>
      </c>
      <c r="F8" s="6">
        <v>51.250559000000003</v>
      </c>
    </row>
    <row r="9" spans="1:6" x14ac:dyDescent="0.35">
      <c r="A9" t="s">
        <v>25</v>
      </c>
      <c r="B9">
        <v>2025</v>
      </c>
      <c r="C9" s="6">
        <v>435081.68</v>
      </c>
      <c r="D9" s="6">
        <v>585373.31999999995</v>
      </c>
      <c r="E9" s="6">
        <v>18.029449</v>
      </c>
      <c r="F9" s="6">
        <v>53.129713000000002</v>
      </c>
    </row>
    <row r="10" spans="1:6" x14ac:dyDescent="0.35">
      <c r="A10" t="s">
        <v>26</v>
      </c>
      <c r="B10">
        <v>2025</v>
      </c>
      <c r="C10" s="6">
        <v>613284.21</v>
      </c>
      <c r="D10" s="6">
        <v>333136.21000000002</v>
      </c>
      <c r="E10" s="6">
        <v>20.609915999999998</v>
      </c>
      <c r="F10" s="6">
        <v>50.854028</v>
      </c>
    </row>
  </sheetData>
  <autoFilter ref="A1:F1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statystyki</vt:lpstr>
      <vt:lpstr>lokalizacje_adopsiaki</vt:lpstr>
      <vt:lpstr>lokalizacje_warsztatow_firmy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Piasecki</dc:creator>
  <cp:lastModifiedBy>Marcin Piasecki</cp:lastModifiedBy>
  <dcterms:created xsi:type="dcterms:W3CDTF">2026-04-11T08:06:40Z</dcterms:created>
  <dcterms:modified xsi:type="dcterms:W3CDTF">2026-04-18T09:14:22Z</dcterms:modified>
</cp:coreProperties>
</file>